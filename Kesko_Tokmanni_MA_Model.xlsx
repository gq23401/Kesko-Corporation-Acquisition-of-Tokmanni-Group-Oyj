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al_Structure" sheetId="2" state="visible" r:id="rId4"/>
    <sheet name="Standalone" sheetId="3" state="visible" r:id="rId5"/>
    <sheet name="Pro_Forma" sheetId="4" state="visible" r:id="rId6"/>
    <sheet name="Accretion_Dilution" sheetId="5" state="visible" r:id="rId7"/>
    <sheet name="Synergies" sheetId="6" state="visible" r:id="rId8"/>
    <sheet name="Credit_Impact" sheetId="7" state="visible" r:id="rId9"/>
    <sheet name="Sensi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<sst xmlns="http://schemas.openxmlformats.org/spreadsheetml/2006/main" count="260" uniqueCount="177">
  <si>
    <t xml:space="preserve">GBENGA QUADRI</t>
  </si>
  <si>
    <t xml:space="preserve">CFA Candidate  |  M&amp;A Advisory &amp; Valuation</t>
  </si>
  <si>
    <t xml:space="preserve">KESKO CORPORATION</t>
  </si>
  <si>
    <t xml:space="preserve">Proposed Acquisition of Tokmanni Group Oyj</t>
  </si>
  <si>
    <t xml:space="preserve">M&amp;A Accretion / Dilution Analysis</t>
  </si>
  <si>
    <t xml:space="preserve">DEAL RECOMMENDATION</t>
  </si>
  <si>
    <t xml:space="preserve">PROCEED WITH CAUTION</t>
  </si>
  <si>
    <t xml:space="preserve">Transaction is dilutive at current terms without synergies; accretive with realisable synergies above EUR 25M</t>
  </si>
  <si>
    <t xml:space="preserve">Deal Summary:</t>
  </si>
  <si>
    <t xml:space="preserve">Acquirer: Kesko Corporation (KESKOB.HE) — EUR 8.0B market cap</t>
  </si>
  <si>
    <t xml:space="preserve">Target: Tokmanni Group Oyj (TOKMAN.HE) — EUR 509M market cap</t>
  </si>
  <si>
    <t xml:space="preserve">Offer: EUR 11.31/share (30% premium to EUR 8.70 undisturbed)</t>
  </si>
  <si>
    <t xml:space="preserve">Total Consideration: EUR 662M (70% Cash / 30% Stock)</t>
  </si>
  <si>
    <t xml:space="preserve">Strategic Rationale: Consolidate Finnish retail, cross-sell grocery/discount</t>
  </si>
  <si>
    <t xml:space="preserve">Model Architecture (8 Sheets):</t>
  </si>
  <si>
    <t xml:space="preserve">  1. Cover — Deal summary and recommendation</t>
  </si>
  <si>
    <t xml:space="preserve">  2. Deal Structure — Sources &amp; Uses, consideration mix</t>
  </si>
  <si>
    <t xml:space="preserve">  3. Standalone Financials — Acquirer and target P&amp;L</t>
  </si>
  <si>
    <t xml:space="preserve">  4. Pro Forma — Combined income statement with synergies</t>
  </si>
  <si>
    <t xml:space="preserve">  5. Accretion/Dilution — EPS impact analysis</t>
  </si>
  <si>
    <t xml:space="preserve">  6. Synergies — Cost savings and revenue opportunities</t>
  </si>
  <si>
    <t xml:space="preserve">  7. Credit Impact — Leverage ratios pre/post deal</t>
  </si>
  <si>
    <t xml:space="preserve">  8. Sensitivity — EPS impact at different prices and synergy levels</t>
  </si>
  <si>
    <t xml:space="preserve">CFI Standard: Blue = Inputs | Black = Formulas | Green = Cross-sheet | Yellow = Key assumptions</t>
  </si>
  <si>
    <t xml:space="preserve">All figures in EUR millions unless stated</t>
  </si>
  <si>
    <t xml:space="preserve">PREPARED BY: GBENGA QUADRI CFA CANDIDATE</t>
  </si>
  <si>
    <t xml:space="preserve">March 2026</t>
  </si>
  <si>
    <t xml:space="preserve">KESKO / TOKMANNI — DEAL STRUCTURE</t>
  </si>
  <si>
    <t xml:space="preserve">GBENGA QUADRI CFA CANDIDATE</t>
  </si>
  <si>
    <t xml:space="preserve">All figures in EUR M unless stated</t>
  </si>
  <si>
    <t xml:space="preserve">OFFER TERMS</t>
  </si>
  <si>
    <t xml:space="preserve">Tokmanni Current Share Price</t>
  </si>
  <si>
    <t xml:space="preserve">EUR</t>
  </si>
  <si>
    <t xml:space="preserve">Offer Premium</t>
  </si>
  <si>
    <t xml:space="preserve">%</t>
  </si>
  <si>
    <t xml:space="preserve">Offer Price Per Share</t>
  </si>
  <si>
    <t xml:space="preserve">Tokmanni Shares Outstanding</t>
  </si>
  <si>
    <t xml:space="preserve">M</t>
  </si>
  <si>
    <t xml:space="preserve">Total Equity Consideration</t>
  </si>
  <si>
    <t xml:space="preserve">EUR M</t>
  </si>
  <si>
    <t xml:space="preserve">CONSIDERATION MIX</t>
  </si>
  <si>
    <t xml:space="preserve">Cash Consideration %</t>
  </si>
  <si>
    <t xml:space="preserve">Stock Consideration %</t>
  </si>
  <si>
    <t xml:space="preserve">Cash Amount</t>
  </si>
  <si>
    <t xml:space="preserve">Stock Amount</t>
  </si>
  <si>
    <t xml:space="preserve">Kesko Current Share Price</t>
  </si>
  <si>
    <t xml:space="preserve">New Kesko Shares Issued</t>
  </si>
  <si>
    <t xml:space="preserve">SOURCES &amp; USES</t>
  </si>
  <si>
    <t xml:space="preserve">Sources</t>
  </si>
  <si>
    <t xml:space="preserve">Uses</t>
  </si>
  <si>
    <t xml:space="preserve">New Debt Issuance</t>
  </si>
  <si>
    <t xml:space="preserve">Equity to Target Shareholders</t>
  </si>
  <si>
    <t xml:space="preserve">Cash on Hand (Kesko)</t>
  </si>
  <si>
    <t xml:space="preserve">Assumed Target Debt</t>
  </si>
  <si>
    <t xml:space="preserve">New Kesko Shares</t>
  </si>
  <si>
    <t xml:space="preserve">Advisory &amp; Transaction Fees</t>
  </si>
  <si>
    <t xml:space="preserve">Total Sources</t>
  </si>
  <si>
    <t xml:space="preserve">Total Uses</t>
  </si>
  <si>
    <t xml:space="preserve">Sources - Uses Check</t>
  </si>
  <si>
    <t xml:space="preserve">IMPLIED TRANSACTION MULTIPLES</t>
  </si>
  <si>
    <t xml:space="preserve">Tokmanni FY2025 Revenue</t>
  </si>
  <si>
    <t xml:space="preserve">Tokmanni FY2025 EBITDA</t>
  </si>
  <si>
    <t xml:space="preserve">Tokmanni FY2025 EBIT</t>
  </si>
  <si>
    <t xml:space="preserve">Tokmanni Net Debt (incl. leases)</t>
  </si>
  <si>
    <t xml:space="preserve">Implied Enterprise Value</t>
  </si>
  <si>
    <t xml:space="preserve">EV / Revenue</t>
  </si>
  <si>
    <t xml:space="preserve">EV / EBITDA</t>
  </si>
  <si>
    <t xml:space="preserve">EV / EBIT</t>
  </si>
  <si>
    <t xml:space="preserve">P / E (Offer Price)</t>
  </si>
  <si>
    <t xml:space="preserve">FY2025 EPS = 0.59</t>
  </si>
  <si>
    <t xml:space="preserve">Model follows CFI Financial Modeling Best Practices &amp; Financial Modeling Guidelines</t>
  </si>
  <si>
    <t xml:space="preserve">GBENGA QUADRI CFA CANDIDATE  |  March 2026</t>
  </si>
  <si>
    <t xml:space="preserve">STANDALONE FINANCIAL COMPARISON</t>
  </si>
  <si>
    <t xml:space="preserve">FY2025 Actuals</t>
  </si>
  <si>
    <t xml:space="preserve">Unit</t>
  </si>
  <si>
    <t xml:space="preserve">Kesko</t>
  </si>
  <si>
    <t xml:space="preserve">Tokmanni</t>
  </si>
  <si>
    <t xml:space="preserve">Notes</t>
  </si>
  <si>
    <t xml:space="preserve">Revenue</t>
  </si>
  <si>
    <t xml:space="preserve">Kesko FY2025 FSR; Tokmanni FY2025 guidance mid</t>
  </si>
  <si>
    <t xml:space="preserve">COGS</t>
  </si>
  <si>
    <t xml:space="preserve">Gross Profit</t>
  </si>
  <si>
    <t xml:space="preserve">Gross Margin</t>
  </si>
  <si>
    <t xml:space="preserve">SG&amp;A + Other OpEx</t>
  </si>
  <si>
    <t xml:space="preserve">Includes IFRS 16 D&amp;A for Tokmanni</t>
  </si>
  <si>
    <t xml:space="preserve">EBITDA</t>
  </si>
  <si>
    <t xml:space="preserve">Kesko comparable; Tokmanni FY2025 est.</t>
  </si>
  <si>
    <t xml:space="preserve">D&amp;A</t>
  </si>
  <si>
    <t xml:space="preserve">EBIT (Comparable)</t>
  </si>
  <si>
    <t xml:space="preserve">Kesko Q4 2025 FSR; Tokmanni FY2025 comp</t>
  </si>
  <si>
    <t xml:space="preserve">Net Finance Costs</t>
  </si>
  <si>
    <t xml:space="preserve">Kesko incl. lease interest; Tokmanni est.</t>
  </si>
  <si>
    <t xml:space="preserve">PBT</t>
  </si>
  <si>
    <t xml:space="preserve">Tax (20%)</t>
  </si>
  <si>
    <t xml:space="preserve">Net Income</t>
  </si>
  <si>
    <t xml:space="preserve">Shares Outstanding</t>
  </si>
  <si>
    <t xml:space="preserve">EPS</t>
  </si>
  <si>
    <t xml:space="preserve">Share Price</t>
  </si>
  <si>
    <t xml:space="preserve">As of March 2026</t>
  </si>
  <si>
    <t xml:space="preserve">Market Cap</t>
  </si>
  <si>
    <t xml:space="preserve">P/E</t>
  </si>
  <si>
    <t xml:space="preserve">x</t>
  </si>
  <si>
    <t xml:space="preserve">PRO FORMA COMBINED INCOME STATEMENT</t>
  </si>
  <si>
    <t xml:space="preserve">Kesko
Standalone</t>
  </si>
  <si>
    <t xml:space="preserve">Tokmanni
Standalone</t>
  </si>
  <si>
    <t xml:space="preserve">Adjustments</t>
  </si>
  <si>
    <t xml:space="preserve">Pro Forma
(No Syn.)</t>
  </si>
  <si>
    <t xml:space="preserve">Pro Forma
(With Syn.)</t>
  </si>
  <si>
    <t xml:space="preserve">EBIT</t>
  </si>
  <si>
    <t xml:space="preserve">Kesko Standalone EPS</t>
  </si>
  <si>
    <t xml:space="preserve">EPS Accretion / (Dilution)</t>
  </si>
  <si>
    <t xml:space="preserve">Accretion / (Dilution) %</t>
  </si>
  <si>
    <t xml:space="preserve">ACCRETION / DILUTION SUMMARY</t>
  </si>
  <si>
    <t xml:space="preserve">EPS IMPACT ANALYSIS</t>
  </si>
  <si>
    <t xml:space="preserve">Without
Synergies</t>
  </si>
  <si>
    <t xml:space="preserve">With
Synergies</t>
  </si>
  <si>
    <t xml:space="preserve">Pro Forma EPS</t>
  </si>
  <si>
    <t xml:space="preserve">EPS Change</t>
  </si>
  <si>
    <t xml:space="preserve">Verdict</t>
  </si>
  <si>
    <t xml:space="preserve">BREAK-EVEN SYNERGY ANALYSIS</t>
  </si>
  <si>
    <t xml:space="preserve">EPS Dilution (pre-synergy)</t>
  </si>
  <si>
    <t xml:space="preserve">Pro Forma Shares</t>
  </si>
  <si>
    <t xml:space="preserve">Dilution in EUR M (pre-tax)</t>
  </si>
  <si>
    <t xml:space="preserve">Tax Rate</t>
  </si>
  <si>
    <t xml:space="preserve">Break-Even Pre-Tax Synergies</t>
  </si>
  <si>
    <t xml:space="preserve">Conclusion: Pre-tax synergies of above amount needed to reach EPS neutrality</t>
  </si>
  <si>
    <t xml:space="preserve">SYNERGY ANALYSIS</t>
  </si>
  <si>
    <t xml:space="preserve">Synergy Category</t>
  </si>
  <si>
    <t xml:space="preserve">Annual
Amount</t>
  </si>
  <si>
    <t xml:space="preserve">Phase-In
(Year 1)</t>
  </si>
  <si>
    <t xml:space="preserve">Rationale</t>
  </si>
  <si>
    <t xml:space="preserve">COST SYNERGIES</t>
  </si>
  <si>
    <t xml:space="preserve">  Procurement / Sourcing</t>
  </si>
  <si>
    <t xml:space="preserve">Combined purchasing power for private label, general merchandise</t>
  </si>
  <si>
    <t xml:space="preserve">  Logistics &amp; Distribution</t>
  </si>
  <si>
    <t xml:space="preserve">Shared Hyvinkaa warehouse; route optimization across ~2,000 stores</t>
  </si>
  <si>
    <t xml:space="preserve">  SG&amp;A / Corporate Overhead</t>
  </si>
  <si>
    <t xml:space="preserve">Eliminate duplicate HQ functions, IT systems consolidation</t>
  </si>
  <si>
    <t xml:space="preserve">  Store Network Optimization</t>
  </si>
  <si>
    <t xml:space="preserve">Close overlapping locations; sublease freed space</t>
  </si>
  <si>
    <t xml:space="preserve">Total Cost Synergies</t>
  </si>
  <si>
    <t xml:space="preserve">REVENUE SYNERGIES</t>
  </si>
  <si>
    <t xml:space="preserve">  Cross-selling (grocery in Tokmanni)</t>
  </si>
  <si>
    <t xml:space="preserve">K-Plussa loyalty integration; Pirkka products in Tokmanni stores</t>
  </si>
  <si>
    <t xml:space="preserve">  Online / Omnichannel</t>
  </si>
  <si>
    <t xml:space="preserve">Shared e-commerce platform; Click &amp; Collect across networks</t>
  </si>
  <si>
    <t xml:space="preserve">  Private Label Expansion</t>
  </si>
  <si>
    <t xml:space="preserve">Extend Tokmanni private label to K-Citymarket non-food</t>
  </si>
  <si>
    <t xml:space="preserve">Total Revenue Synergies</t>
  </si>
  <si>
    <t xml:space="preserve">SYNERGY SUMMARY</t>
  </si>
  <si>
    <t xml:space="preserve">Total Annual Synergies (Run-Rate)</t>
  </si>
  <si>
    <t xml:space="preserve">Year 1 Synergies</t>
  </si>
  <si>
    <t xml:space="preserve">One-Time Integration Costs</t>
  </si>
  <si>
    <t xml:space="preserve">IT migration, rebranding, severance, store conversions</t>
  </si>
  <si>
    <t xml:space="preserve">Integration Period</t>
  </si>
  <si>
    <t xml:space="preserve">CREDIT / LEVERAGE IMPACT ANALYSIS</t>
  </si>
  <si>
    <t xml:space="preserve">Kesko
Pre-Deal</t>
  </si>
  <si>
    <t xml:space="preserve">LEVERAGE METRICS</t>
  </si>
  <si>
    <t xml:space="preserve">Financial Debt (excl. leases)</t>
  </si>
  <si>
    <t xml:space="preserve">Cash</t>
  </si>
  <si>
    <t xml:space="preserve">Net Debt (excl. leases)</t>
  </si>
  <si>
    <t xml:space="preserve">Net Debt / EBITDA</t>
  </si>
  <si>
    <t xml:space="preserve">Total Debt / EBITDA (incl. leases)</t>
  </si>
  <si>
    <t xml:space="preserve">Interest Coverage (EBITDA/Int.)</t>
  </si>
  <si>
    <t xml:space="preserve">CREDIT ASSESSMENT</t>
  </si>
  <si>
    <t xml:space="preserve">Pre-deal leverage is investment-grade (1.1x Net Debt/EBITDA excl. leases).</t>
  </si>
  <si>
    <t xml:space="preserve">Post-deal leverage increases meaningfully due to acquisition debt and assumed Tokmanni debt.</t>
  </si>
  <si>
    <t xml:space="preserve">With synergies, EBITDA improves and leverage ratios improve modestly.</t>
  </si>
  <si>
    <t xml:space="preserve">Rating agencies would likely place Kesko on negative outlook pending integration execution.</t>
  </si>
  <si>
    <t xml:space="preserve">SENSITIVITY ANALYSIS</t>
  </si>
  <si>
    <t xml:space="preserve">EPS ACCRETION / (DILUTION) %</t>
  </si>
  <si>
    <t xml:space="preserve">Offer Premium vs. Annual Synergies (EUR M)</t>
  </si>
  <si>
    <t xml:space="preserve">Premium\Syn</t>
  </si>
  <si>
    <t xml:space="preserve">Cash % in Deal vs. Annual Synergies (EUR M)</t>
  </si>
  <si>
    <t xml:space="preserve">Cash%\Syn</t>
  </si>
  <si>
    <t xml:space="preserve">Green = accretive; Red = dilutive</t>
  </si>
  <si>
    <t xml:space="preserve">Dark green = base case (30% premium, 70% cash, EUR 45M synergies)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</si>
</sst>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\(#,##0.00\);\-"/>
    <numFmt numFmtId="166" formatCode="0.0%;\(0.0%\);\-"/>
    <numFmt numFmtId="167" formatCode="0.0"/>
    <numFmt numFmtId="168" formatCode="#,##0;\(#,##0\);\-"/>
    <numFmt numFmtId="169" formatCode="#,##0;\(#,##0\);\-"/>
    <numFmt numFmtId="170" formatCode="0.0\x"/>
    <numFmt numFmtId="171" formatCode="#,##0.0;\(#,##0.0\);\-"/>
    <numFmt numFmtId="172" formatCode="#,##0.0;\(#,##0.0\);\-"/>
    <numFmt numFmtId="173" formatCode="\+0.0%;\-0.0%;\-"/>
    <numFmt numFmtId="174" formatCode="@"/>
    <numFmt numFmtId="175" formatCode="0&quot; years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B8CCE4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2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996600"/>
      <name val="Arial"/>
      <family val="0"/>
      <charset val="1"/>
    </font>
    <font>
      <sz val="10"/>
      <color rgb="FF333333"/>
      <name val="Arial"/>
      <family val="0"/>
      <charset val="1"/>
    </font>
    <font>
      <sz val="9.5"/>
      <color rgb="FF333333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7"/>
      <color rgb="FF99999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27AE60"/>
        <bgColor rgb="FF00B05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7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996600"/>
      <rgbColor rgb="FF800080"/>
      <rgbColor rgb="FF00B05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70AD47"/>
      <rgbColor rgb="FFFFC000"/>
      <rgbColor rgb="FFFF9900"/>
      <rgbColor rgb="FFFF6600"/>
      <rgbColor rgb="FF666666"/>
      <rgbColor rgb="FF999999"/>
      <rgbColor rgb="FF003366"/>
      <rgbColor rgb="FF27AE60"/>
      <rgbColor rgb="FF0066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4" min="4" style="1" width="20"/>
  </cols>
  <sheetData>
    <row r="1" customFormat="false" ht="15" hidden="false" customHeight="true" outlineLevel="0" collapsed="false">
      <c r="A1" s="2"/>
      <c r="B1" s="2"/>
      <c r="C1" s="2"/>
      <c r="D1" s="2"/>
    </row>
    <row r="2" customFormat="false" ht="24" hidden="false" customHeight="true" outlineLevel="0" collapsed="false">
      <c r="A2" s="2"/>
      <c r="B2" s="3" t="s">
        <v>0</v>
      </c>
      <c r="C2" s="2"/>
      <c r="D2" s="2"/>
    </row>
    <row r="3" customFormat="false" ht="15" hidden="false" customHeight="true" outlineLevel="0" collapsed="false">
      <c r="A3" s="2"/>
      <c r="B3" s="4" t="s">
        <v>1</v>
      </c>
      <c r="C3" s="2"/>
      <c r="D3" s="2"/>
    </row>
    <row r="5" customFormat="false" ht="17.25" hidden="false" customHeight="true" outlineLevel="0" collapsed="false">
      <c r="B5" s="5" t="s">
        <v>2</v>
      </c>
    </row>
    <row r="6" customFormat="false" ht="15" hidden="false" customHeight="true" outlineLevel="0" collapsed="false">
      <c r="B6" s="6" t="s">
        <v>3</v>
      </c>
    </row>
    <row r="7" customFormat="false" ht="15" hidden="false" customHeight="true" outlineLevel="0" collapsed="false">
      <c r="B7" s="7" t="s">
        <v>4</v>
      </c>
    </row>
    <row r="9" customFormat="false" ht="15" hidden="false" customHeight="true" outlineLevel="0" collapsed="false">
      <c r="B9" s="8" t="s">
        <v>5</v>
      </c>
    </row>
    <row r="10" customFormat="false" ht="21.75" hidden="false" customHeight="true" outlineLevel="0" collapsed="false">
      <c r="B10" s="9" t="s">
        <v>6</v>
      </c>
    </row>
    <row r="11" customFormat="false" ht="15" hidden="false" customHeight="true" outlineLevel="0" collapsed="false">
      <c r="B11" s="10" t="s">
        <v>7</v>
      </c>
    </row>
    <row r="13" customFormat="false" ht="15" hidden="false" customHeight="true" outlineLevel="0" collapsed="false">
      <c r="B13" s="8" t="s">
        <v>8</v>
      </c>
    </row>
    <row r="14" customFormat="false" ht="15" hidden="false" customHeight="true" outlineLevel="0" collapsed="false">
      <c r="B14" s="11" t="s">
        <v>9</v>
      </c>
    </row>
    <row r="15" customFormat="false" ht="15" hidden="false" customHeight="true" outlineLevel="0" collapsed="false">
      <c r="B15" s="11" t="s">
        <v>10</v>
      </c>
    </row>
    <row r="16" customFormat="false" ht="15" hidden="false" customHeight="true" outlineLevel="0" collapsed="false">
      <c r="B16" s="11" t="s">
        <v>11</v>
      </c>
    </row>
    <row r="17" customFormat="false" ht="15" hidden="false" customHeight="true" outlineLevel="0" collapsed="false">
      <c r="B17" s="11" t="s">
        <v>12</v>
      </c>
    </row>
    <row r="18" customFormat="false" ht="15" hidden="false" customHeight="true" outlineLevel="0" collapsed="false">
      <c r="B18" s="11" t="s">
        <v>13</v>
      </c>
    </row>
    <row r="19" customFormat="false" ht="15" hidden="false" customHeight="true" outlineLevel="0" collapsed="false">
      <c r="B19" s="11"/>
    </row>
    <row r="20" customFormat="false" ht="15" hidden="false" customHeight="true" outlineLevel="0" collapsed="false">
      <c r="B20" s="11" t="s">
        <v>14</v>
      </c>
    </row>
    <row r="21" customFormat="false" ht="15" hidden="false" customHeight="true" outlineLevel="0" collapsed="false">
      <c r="B21" s="11" t="s">
        <v>15</v>
      </c>
    </row>
    <row r="22" customFormat="false" ht="15" hidden="false" customHeight="true" outlineLevel="0" collapsed="false">
      <c r="B22" s="11" t="s">
        <v>16</v>
      </c>
    </row>
    <row r="23" customFormat="false" ht="15" hidden="false" customHeight="true" outlineLevel="0" collapsed="false">
      <c r="B23" s="11" t="s">
        <v>17</v>
      </c>
    </row>
    <row r="24" customFormat="false" ht="15" hidden="false" customHeight="true" outlineLevel="0" collapsed="false">
      <c r="B24" s="11" t="s">
        <v>18</v>
      </c>
    </row>
    <row r="25" customFormat="false" ht="15" hidden="false" customHeight="true" outlineLevel="0" collapsed="false">
      <c r="B25" s="11" t="s">
        <v>19</v>
      </c>
    </row>
    <row r="26" customFormat="false" ht="15" hidden="false" customHeight="true" outlineLevel="0" collapsed="false">
      <c r="B26" s="11" t="s">
        <v>20</v>
      </c>
    </row>
    <row r="27" customFormat="false" ht="15" hidden="false" customHeight="true" outlineLevel="0" collapsed="false">
      <c r="B27" s="11" t="s">
        <v>21</v>
      </c>
    </row>
    <row r="28" customFormat="false" ht="15" hidden="false" customHeight="true" outlineLevel="0" collapsed="false">
      <c r="B28" s="11" t="s">
        <v>22</v>
      </c>
    </row>
    <row r="31" customFormat="false" ht="15" hidden="false" customHeight="true" outlineLevel="0" collapsed="false">
      <c r="B31" s="12" t="s">
        <v>23</v>
      </c>
    </row>
    <row r="32" customFormat="false" ht="15" hidden="false" customHeight="true" outlineLevel="0" collapsed="false">
      <c r="B32" s="12" t="s">
        <v>24</v>
      </c>
    </row>
    <row r="34" customFormat="false" ht="15.75" hidden="false" customHeight="true" outlineLevel="0" collapsed="false">
      <c r="B34" s="13" t="s">
        <v>25</v>
      </c>
    </row>
    <row r="35" customFormat="false" ht="15" hidden="false" customHeight="true" outlineLevel="0" collapsed="false">
      <c r="B35" s="1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8"/>
    <col collapsed="false" customWidth="true" hidden="false" outlineLevel="0" max="5" min="3" style="1" width="16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5" t="s">
        <v>27</v>
      </c>
    </row>
    <row r="2" customFormat="false" ht="15" hidden="false" customHeight="true" outlineLevel="0" collapsed="false">
      <c r="A2" s="15" t="s">
        <v>28</v>
      </c>
      <c r="D2" s="14" t="s">
        <v>29</v>
      </c>
    </row>
    <row r="4" customFormat="false" ht="15" hidden="false" customHeight="true" outlineLevel="0" collapsed="false">
      <c r="A4" s="16" t="s">
        <v>30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customFormat="false" ht="15" hidden="false" customHeight="true" outlineLevel="0" collapsed="false">
      <c r="A5" s="18" t="s">
        <v>31</v>
      </c>
      <c r="B5" s="14" t="s">
        <v>32</v>
      </c>
      <c r="C5" s="19" t="n">
        <v>8.7</v>
      </c>
    </row>
    <row r="6" customFormat="false" ht="15" hidden="false" customHeight="true" outlineLevel="0" collapsed="false">
      <c r="A6" s="18" t="s">
        <v>33</v>
      </c>
      <c r="B6" s="14" t="s">
        <v>34</v>
      </c>
      <c r="C6" s="20" t="n">
        <v>0.3</v>
      </c>
    </row>
    <row r="7" customFormat="false" ht="15" hidden="false" customHeight="true" outlineLevel="0" collapsed="false">
      <c r="A7" s="8" t="s">
        <v>35</v>
      </c>
      <c r="B7" s="14" t="s">
        <v>32</v>
      </c>
      <c r="C7" s="21" t="n">
        <f aca="false">C5*(1+C6)</f>
        <v>11.31</v>
      </c>
    </row>
    <row r="8" customFormat="false" ht="15" hidden="false" customHeight="true" outlineLevel="0" collapsed="false">
      <c r="A8" s="18" t="s">
        <v>36</v>
      </c>
      <c r="B8" s="14" t="s">
        <v>37</v>
      </c>
      <c r="C8" s="22" t="n">
        <v>58.5</v>
      </c>
    </row>
    <row r="9" customFormat="false" ht="15" hidden="false" customHeight="true" outlineLevel="0" collapsed="false">
      <c r="A9" s="23" t="s">
        <v>38</v>
      </c>
      <c r="B9" s="24" t="s">
        <v>39</v>
      </c>
      <c r="C9" s="25" t="n">
        <f aca="false">C7*C8</f>
        <v>661.635</v>
      </c>
      <c r="D9" s="26"/>
      <c r="E9" s="26"/>
      <c r="F9" s="26"/>
    </row>
    <row r="11" customFormat="false" ht="15" hidden="false" customHeight="true" outlineLevel="0" collapsed="false">
      <c r="A11" s="16" t="s">
        <v>40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true" outlineLevel="0" collapsed="false">
      <c r="A12" s="18" t="s">
        <v>41</v>
      </c>
      <c r="C12" s="20" t="n">
        <v>0.7</v>
      </c>
    </row>
    <row r="13" customFormat="false" ht="15" hidden="false" customHeight="true" outlineLevel="0" collapsed="false">
      <c r="A13" s="18" t="s">
        <v>42</v>
      </c>
      <c r="C13" s="27" t="n">
        <f aca="false">1-C12</f>
        <v>0.3</v>
      </c>
    </row>
    <row r="14" customFormat="false" ht="15" hidden="false" customHeight="true" outlineLevel="0" collapsed="false">
      <c r="A14" s="8" t="s">
        <v>43</v>
      </c>
      <c r="B14" s="14" t="s">
        <v>39</v>
      </c>
      <c r="C14" s="28" t="n">
        <f aca="false">C9*C12</f>
        <v>463.1445</v>
      </c>
    </row>
    <row r="15" customFormat="false" ht="15" hidden="false" customHeight="true" outlineLevel="0" collapsed="false">
      <c r="A15" s="8" t="s">
        <v>44</v>
      </c>
      <c r="B15" s="14" t="s">
        <v>39</v>
      </c>
      <c r="C15" s="28" t="n">
        <f aca="false">C9*C13</f>
        <v>198.4905</v>
      </c>
    </row>
    <row r="16" customFormat="false" ht="15" hidden="false" customHeight="true" outlineLevel="0" collapsed="false">
      <c r="A16" s="18" t="s">
        <v>45</v>
      </c>
      <c r="B16" s="14" t="s">
        <v>32</v>
      </c>
      <c r="C16" s="19" t="n">
        <v>20.12</v>
      </c>
    </row>
    <row r="17" customFormat="false" ht="15" hidden="false" customHeight="true" outlineLevel="0" collapsed="false">
      <c r="A17" s="29" t="s">
        <v>46</v>
      </c>
      <c r="B17" s="30" t="s">
        <v>37</v>
      </c>
      <c r="C17" s="31" t="n">
        <f aca="false">C15/C16</f>
        <v>9.86533300198807</v>
      </c>
      <c r="D17" s="32"/>
      <c r="E17" s="32"/>
      <c r="F17" s="32"/>
    </row>
    <row r="19" customFormat="false" ht="15" hidden="false" customHeight="true" outlineLevel="0" collapsed="false">
      <c r="A19" s="16" t="s">
        <v>47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true" outlineLevel="0" collapsed="false">
      <c r="A20" s="33" t="s">
        <v>48</v>
      </c>
      <c r="B20" s="34"/>
      <c r="C20" s="34" t="s">
        <v>39</v>
      </c>
      <c r="D20" s="34"/>
      <c r="E20" s="34" t="s">
        <v>49</v>
      </c>
      <c r="F20" s="34"/>
    </row>
    <row r="21" customFormat="false" ht="15" hidden="false" customHeight="true" outlineLevel="0" collapsed="false">
      <c r="A21" s="18" t="s">
        <v>50</v>
      </c>
      <c r="C21" s="35" t="n">
        <f aca="false">F21+F22+F23-C22-C23</f>
        <v>718.1445</v>
      </c>
      <c r="E21" s="18" t="s">
        <v>51</v>
      </c>
      <c r="F21" s="36" t="n">
        <f aca="false">C9</f>
        <v>661.635</v>
      </c>
    </row>
    <row r="22" customFormat="false" ht="15" hidden="false" customHeight="true" outlineLevel="0" collapsed="false">
      <c r="A22" s="18" t="s">
        <v>52</v>
      </c>
      <c r="C22" s="37" t="n">
        <v>50</v>
      </c>
      <c r="E22" s="18" t="s">
        <v>53</v>
      </c>
      <c r="F22" s="37" t="n">
        <v>280</v>
      </c>
    </row>
    <row r="23" customFormat="false" ht="15" hidden="false" customHeight="true" outlineLevel="0" collapsed="false">
      <c r="A23" s="38" t="s">
        <v>54</v>
      </c>
      <c r="B23" s="32"/>
      <c r="C23" s="39" t="n">
        <f aca="false">C15</f>
        <v>198.4905</v>
      </c>
      <c r="D23" s="32"/>
      <c r="E23" s="38" t="s">
        <v>55</v>
      </c>
      <c r="F23" s="40" t="n">
        <v>25</v>
      </c>
    </row>
    <row r="24" customFormat="false" ht="15" hidden="false" customHeight="true" outlineLevel="0" collapsed="false">
      <c r="A24" s="41" t="s">
        <v>56</v>
      </c>
      <c r="B24" s="26"/>
      <c r="C24" s="42" t="n">
        <f aca="false">SUM(C21:C23)</f>
        <v>966.635</v>
      </c>
      <c r="D24" s="26"/>
      <c r="E24" s="41" t="s">
        <v>57</v>
      </c>
      <c r="F24" s="42" t="n">
        <f aca="false">F21+F22+F23</f>
        <v>966.635</v>
      </c>
    </row>
    <row r="25" customFormat="false" ht="15" hidden="false" customHeight="true" outlineLevel="0" collapsed="false">
      <c r="A25" s="43" t="s">
        <v>58</v>
      </c>
      <c r="C25" s="44" t="n">
        <f aca="false">C24-F24</f>
        <v>0</v>
      </c>
    </row>
    <row r="27" customFormat="false" ht="15" hidden="false" customHeight="true" outlineLevel="0" collapsed="false">
      <c r="A27" s="16" t="s">
        <v>59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true" outlineLevel="0" collapsed="false">
      <c r="A28" s="18" t="s">
        <v>60</v>
      </c>
      <c r="C28" s="37" t="n">
        <v>1730</v>
      </c>
    </row>
    <row r="29" customFormat="false" ht="15" hidden="false" customHeight="true" outlineLevel="0" collapsed="false">
      <c r="A29" s="18" t="s">
        <v>61</v>
      </c>
      <c r="C29" s="37" t="n">
        <v>195</v>
      </c>
    </row>
    <row r="30" customFormat="false" ht="15" hidden="false" customHeight="true" outlineLevel="0" collapsed="false">
      <c r="A30" s="18" t="s">
        <v>62</v>
      </c>
      <c r="C30" s="37" t="n">
        <v>85</v>
      </c>
    </row>
    <row r="31" customFormat="false" ht="15" hidden="false" customHeight="true" outlineLevel="0" collapsed="false">
      <c r="A31" s="18" t="s">
        <v>63</v>
      </c>
      <c r="C31" s="37" t="n">
        <v>920</v>
      </c>
    </row>
    <row r="33" customFormat="false" ht="15" hidden="false" customHeight="true" outlineLevel="0" collapsed="false">
      <c r="A33" s="8" t="s">
        <v>64</v>
      </c>
      <c r="C33" s="28" t="n">
        <f aca="false">C9+C31</f>
        <v>1581.635</v>
      </c>
    </row>
    <row r="34" customFormat="false" ht="15" hidden="false" customHeight="true" outlineLevel="0" collapsed="false">
      <c r="A34" s="18" t="s">
        <v>65</v>
      </c>
      <c r="C34" s="45" t="n">
        <f aca="false">C33/C28</f>
        <v>0.914239884393064</v>
      </c>
    </row>
    <row r="35" customFormat="false" ht="15" hidden="false" customHeight="true" outlineLevel="0" collapsed="false">
      <c r="A35" s="18" t="s">
        <v>66</v>
      </c>
      <c r="C35" s="45" t="n">
        <f aca="false">C33/C29</f>
        <v>8.11094871794872</v>
      </c>
    </row>
    <row r="36" customFormat="false" ht="15" hidden="false" customHeight="true" outlineLevel="0" collapsed="false">
      <c r="A36" s="18" t="s">
        <v>67</v>
      </c>
      <c r="C36" s="45" t="n">
        <f aca="false">C33/C30</f>
        <v>18.6074705882353</v>
      </c>
    </row>
    <row r="37" customFormat="false" ht="15" hidden="false" customHeight="true" outlineLevel="0" collapsed="false">
      <c r="A37" s="18" t="s">
        <v>68</v>
      </c>
      <c r="C37" s="45" t="n">
        <f aca="false">C7/0.59</f>
        <v>19.1694915254237</v>
      </c>
      <c r="D37" s="12" t="s">
        <v>69</v>
      </c>
    </row>
    <row r="39" customFormat="false" ht="15" hidden="false" customHeight="true" outlineLevel="0" collapsed="false">
      <c r="A39" s="46" t="s">
        <v>70</v>
      </c>
    </row>
    <row r="40" customFormat="false" ht="15" hidden="false" customHeight="true" outlineLevel="0" collapsed="false">
      <c r="A40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4" min="3" style="1" width="16"/>
    <col collapsed="false" customWidth="true" hidden="false" outlineLevel="0" max="5" min="5" style="1" width="5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5" t="s">
        <v>72</v>
      </c>
    </row>
    <row r="2" customFormat="false" ht="15" hidden="false" customHeight="true" outlineLevel="0" collapsed="false">
      <c r="A2" s="15" t="s">
        <v>28</v>
      </c>
    </row>
    <row r="4" customFormat="false" ht="15" hidden="false" customHeight="true" outlineLevel="0" collapsed="false">
      <c r="A4" s="33" t="s">
        <v>73</v>
      </c>
      <c r="B4" s="34" t="s">
        <v>74</v>
      </c>
      <c r="C4" s="34" t="s">
        <v>75</v>
      </c>
      <c r="D4" s="34" t="s">
        <v>76</v>
      </c>
      <c r="E4" s="34"/>
      <c r="F4" s="34" t="s">
        <v>77</v>
      </c>
    </row>
    <row r="5" customFormat="false" ht="15" hidden="false" customHeight="true" outlineLevel="0" collapsed="false">
      <c r="A5" s="18" t="s">
        <v>78</v>
      </c>
      <c r="B5" s="14" t="s">
        <v>39</v>
      </c>
      <c r="C5" s="47" t="n">
        <v>12475</v>
      </c>
      <c r="D5" s="47" t="n">
        <v>1730</v>
      </c>
      <c r="F5" s="12" t="s">
        <v>79</v>
      </c>
    </row>
    <row r="6" customFormat="false" ht="15" hidden="false" customHeight="true" outlineLevel="0" collapsed="false">
      <c r="A6" s="18" t="s">
        <v>80</v>
      </c>
      <c r="B6" s="14" t="s">
        <v>39</v>
      </c>
      <c r="C6" s="47" t="n">
        <v>-10680</v>
      </c>
      <c r="D6" s="47" t="n">
        <v>-1123</v>
      </c>
      <c r="F6" s="12"/>
    </row>
    <row r="7" customFormat="false" ht="15" hidden="false" customHeight="true" outlineLevel="0" collapsed="false">
      <c r="A7" s="8" t="s">
        <v>81</v>
      </c>
      <c r="B7" s="14" t="s">
        <v>39</v>
      </c>
      <c r="C7" s="48" t="n">
        <f aca="false">C5+C6</f>
        <v>1795</v>
      </c>
      <c r="D7" s="48" t="n">
        <f aca="false">D5+D6</f>
        <v>607</v>
      </c>
      <c r="F7" s="12"/>
    </row>
    <row r="8" customFormat="false" ht="15" hidden="false" customHeight="true" outlineLevel="0" collapsed="false">
      <c r="A8" s="18" t="s">
        <v>82</v>
      </c>
      <c r="B8" s="14" t="s">
        <v>34</v>
      </c>
      <c r="C8" s="27" t="n">
        <f aca="false">C7/C5</f>
        <v>0.143887775551102</v>
      </c>
      <c r="D8" s="27" t="n">
        <f aca="false">D7/D5</f>
        <v>0.350867052023121</v>
      </c>
      <c r="F8" s="12"/>
    </row>
    <row r="9" customFormat="false" ht="15" hidden="false" customHeight="true" outlineLevel="0" collapsed="false">
      <c r="A9" s="8"/>
      <c r="B9" s="14"/>
      <c r="F9" s="12"/>
    </row>
    <row r="10" customFormat="false" ht="15" hidden="false" customHeight="true" outlineLevel="0" collapsed="false">
      <c r="A10" s="18" t="s">
        <v>83</v>
      </c>
      <c r="B10" s="14" t="s">
        <v>39</v>
      </c>
      <c r="C10" s="47" t="n">
        <v>-640</v>
      </c>
      <c r="D10" s="47" t="n">
        <v>-510</v>
      </c>
      <c r="F10" s="12" t="s">
        <v>84</v>
      </c>
    </row>
    <row r="11" customFormat="false" ht="15" hidden="false" customHeight="true" outlineLevel="0" collapsed="false">
      <c r="A11" s="8" t="s">
        <v>85</v>
      </c>
      <c r="B11" s="14" t="s">
        <v>39</v>
      </c>
      <c r="C11" s="47" t="n">
        <v>1135</v>
      </c>
      <c r="D11" s="47" t="n">
        <v>195</v>
      </c>
      <c r="F11" s="12" t="s">
        <v>86</v>
      </c>
    </row>
    <row r="12" customFormat="false" ht="15" hidden="false" customHeight="true" outlineLevel="0" collapsed="false">
      <c r="A12" s="18" t="s">
        <v>87</v>
      </c>
      <c r="B12" s="14" t="s">
        <v>39</v>
      </c>
      <c r="C12" s="47" t="n">
        <v>-480</v>
      </c>
      <c r="D12" s="47" t="n">
        <v>-110</v>
      </c>
      <c r="F12" s="12"/>
    </row>
    <row r="13" customFormat="false" ht="15" hidden="false" customHeight="true" outlineLevel="0" collapsed="false">
      <c r="A13" s="8" t="s">
        <v>88</v>
      </c>
      <c r="B13" s="14" t="s">
        <v>39</v>
      </c>
      <c r="C13" s="47" t="n">
        <v>655</v>
      </c>
      <c r="D13" s="47" t="n">
        <v>85</v>
      </c>
      <c r="F13" s="12" t="s">
        <v>89</v>
      </c>
    </row>
    <row r="14" customFormat="false" ht="15" hidden="false" customHeight="true" outlineLevel="0" collapsed="false">
      <c r="A14" s="8"/>
      <c r="B14" s="14"/>
      <c r="F14" s="12"/>
    </row>
    <row r="15" customFormat="false" ht="15" hidden="false" customHeight="true" outlineLevel="0" collapsed="false">
      <c r="A15" s="18" t="s">
        <v>90</v>
      </c>
      <c r="B15" s="14" t="s">
        <v>39</v>
      </c>
      <c r="C15" s="47" t="n">
        <v>-115</v>
      </c>
      <c r="D15" s="47" t="n">
        <v>-50</v>
      </c>
      <c r="F15" s="12" t="s">
        <v>91</v>
      </c>
    </row>
    <row r="16" customFormat="false" ht="15" hidden="false" customHeight="true" outlineLevel="0" collapsed="false">
      <c r="A16" s="8" t="s">
        <v>92</v>
      </c>
      <c r="B16" s="14" t="s">
        <v>39</v>
      </c>
      <c r="C16" s="48" t="n">
        <f aca="false">C13+C15</f>
        <v>540</v>
      </c>
      <c r="D16" s="48" t="n">
        <f aca="false">D13+D15</f>
        <v>35</v>
      </c>
      <c r="F16" s="12"/>
    </row>
    <row r="17" customFormat="false" ht="15" hidden="false" customHeight="true" outlineLevel="0" collapsed="false">
      <c r="A17" s="18" t="s">
        <v>93</v>
      </c>
      <c r="B17" s="14" t="s">
        <v>39</v>
      </c>
      <c r="C17" s="49" t="n">
        <f aca="false">IF(C16&gt;0,-C16*0.2,0)</f>
        <v>-108</v>
      </c>
      <c r="D17" s="49" t="n">
        <f aca="false">IF(D16&gt;0,-D16*0.2,0)</f>
        <v>-7</v>
      </c>
      <c r="F17" s="12"/>
    </row>
    <row r="18" customFormat="false" ht="15" hidden="false" customHeight="true" outlineLevel="0" collapsed="false">
      <c r="A18" s="41" t="s">
        <v>94</v>
      </c>
      <c r="B18" s="24" t="s">
        <v>39</v>
      </c>
      <c r="C18" s="50" t="n">
        <f aca="false">C16+C17</f>
        <v>432</v>
      </c>
      <c r="D18" s="50" t="n">
        <f aca="false">D16+D17</f>
        <v>28</v>
      </c>
      <c r="E18" s="26"/>
      <c r="F18" s="51"/>
    </row>
    <row r="19" customFormat="false" ht="15" hidden="false" customHeight="true" outlineLevel="0" collapsed="false">
      <c r="A19" s="8"/>
      <c r="B19" s="14"/>
      <c r="F19" s="12"/>
    </row>
    <row r="20" customFormat="false" ht="15" hidden="false" customHeight="true" outlineLevel="0" collapsed="false">
      <c r="A20" s="18" t="s">
        <v>95</v>
      </c>
      <c r="B20" s="14" t="s">
        <v>37</v>
      </c>
      <c r="C20" s="22" t="n">
        <v>398</v>
      </c>
      <c r="D20" s="22" t="n">
        <v>58.5</v>
      </c>
      <c r="F20" s="12"/>
    </row>
    <row r="21" customFormat="false" ht="15" hidden="false" customHeight="true" outlineLevel="0" collapsed="false">
      <c r="A21" s="18" t="s">
        <v>96</v>
      </c>
      <c r="B21" s="14" t="s">
        <v>32</v>
      </c>
      <c r="C21" s="52" t="n">
        <f aca="false">C18/C20</f>
        <v>1.08542713567839</v>
      </c>
      <c r="D21" s="52" t="n">
        <f aca="false">D18/D20</f>
        <v>0.478632478632479</v>
      </c>
      <c r="F21" s="12"/>
    </row>
    <row r="22" customFormat="false" ht="15" hidden="false" customHeight="true" outlineLevel="0" collapsed="false">
      <c r="A22" s="18" t="s">
        <v>97</v>
      </c>
      <c r="B22" s="14" t="s">
        <v>32</v>
      </c>
      <c r="C22" s="19" t="n">
        <v>20.12</v>
      </c>
      <c r="D22" s="19" t="n">
        <v>8.7</v>
      </c>
      <c r="F22" s="12" t="s">
        <v>98</v>
      </c>
    </row>
    <row r="23" customFormat="false" ht="15" hidden="false" customHeight="true" outlineLevel="0" collapsed="false">
      <c r="A23" s="18" t="s">
        <v>99</v>
      </c>
      <c r="B23" s="14" t="s">
        <v>39</v>
      </c>
      <c r="C23" s="53" t="n">
        <f aca="false">C22*C20</f>
        <v>8007.76</v>
      </c>
      <c r="D23" s="53" t="n">
        <f aca="false">D22*D20</f>
        <v>508.95</v>
      </c>
      <c r="F23" s="12"/>
    </row>
    <row r="24" customFormat="false" ht="15" hidden="false" customHeight="true" outlineLevel="0" collapsed="false">
      <c r="A24" s="18" t="s">
        <v>100</v>
      </c>
      <c r="B24" s="14" t="s">
        <v>101</v>
      </c>
      <c r="C24" s="45" t="n">
        <f aca="false">C22/C21</f>
        <v>18.5364814814815</v>
      </c>
      <c r="D24" s="45" t="n">
        <f aca="false">D22/D21</f>
        <v>18.1767857142857</v>
      </c>
      <c r="F24" s="12"/>
    </row>
    <row r="26" customFormat="false" ht="15" hidden="false" customHeight="true" outlineLevel="0" collapsed="false">
      <c r="A26" s="46" t="s">
        <v>70</v>
      </c>
    </row>
    <row r="27" customFormat="false" ht="15" hidden="false" customHeight="true" outlineLevel="0" collapsed="false">
      <c r="A27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7" min="3" style="1" width="14"/>
  </cols>
  <sheetData>
    <row r="1" customFormat="false" ht="17.25" hidden="false" customHeight="true" outlineLevel="0" collapsed="false">
      <c r="A1" s="5" t="s">
        <v>102</v>
      </c>
    </row>
    <row r="2" customFormat="false" ht="15" hidden="false" customHeight="true" outlineLevel="0" collapsed="false">
      <c r="A2" s="15" t="s">
        <v>28</v>
      </c>
    </row>
    <row r="4" customFormat="false" ht="23.25" hidden="false" customHeight="true" outlineLevel="0" collapsed="false">
      <c r="A4" s="33"/>
      <c r="B4" s="34" t="s">
        <v>74</v>
      </c>
      <c r="C4" s="34" t="s">
        <v>103</v>
      </c>
      <c r="D4" s="34" t="s">
        <v>104</v>
      </c>
      <c r="E4" s="34" t="s">
        <v>105</v>
      </c>
      <c r="F4" s="34" t="s">
        <v>106</v>
      </c>
      <c r="G4" s="34" t="s">
        <v>107</v>
      </c>
    </row>
    <row r="5" customFormat="false" ht="15" hidden="false" customHeight="true" outlineLevel="0" collapsed="false">
      <c r="A5" s="8" t="s">
        <v>78</v>
      </c>
      <c r="B5" s="14" t="s">
        <v>39</v>
      </c>
      <c r="C5" s="36" t="n">
        <f aca="false">Standalone!C5</f>
        <v>12475</v>
      </c>
      <c r="D5" s="36" t="n">
        <f aca="false">Standalone!D5</f>
        <v>1730</v>
      </c>
      <c r="E5" s="53" t="n">
        <v>0</v>
      </c>
      <c r="F5" s="28" t="n">
        <f aca="false">C5+D5+E5</f>
        <v>14205</v>
      </c>
      <c r="G5" s="54" t="n">
        <f aca="false">F5+Synergies!C16</f>
        <v>14245</v>
      </c>
    </row>
    <row r="7" customFormat="false" ht="15" hidden="false" customHeight="true" outlineLevel="0" collapsed="false">
      <c r="A7" s="8" t="s">
        <v>85</v>
      </c>
      <c r="B7" s="14" t="s">
        <v>39</v>
      </c>
      <c r="C7" s="36" t="n">
        <f aca="false">Standalone!C11</f>
        <v>1135</v>
      </c>
      <c r="D7" s="36" t="n">
        <f aca="false">Standalone!D11</f>
        <v>195</v>
      </c>
      <c r="E7" s="53" t="n">
        <v>0</v>
      </c>
      <c r="F7" s="28" t="n">
        <f aca="false">C7+D7+E7</f>
        <v>1330</v>
      </c>
      <c r="G7" s="54" t="n">
        <f aca="false">F7+Synergies!C9+Synergies!C16</f>
        <v>1375</v>
      </c>
    </row>
    <row r="8" customFormat="false" ht="15" hidden="false" customHeight="true" outlineLevel="0" collapsed="false">
      <c r="A8" s="38" t="s">
        <v>87</v>
      </c>
      <c r="B8" s="30" t="s">
        <v>39</v>
      </c>
      <c r="C8" s="55" t="n">
        <f aca="false">Standalone!C12</f>
        <v>-480</v>
      </c>
      <c r="D8" s="55" t="n">
        <f aca="false">Standalone!D12</f>
        <v>-110</v>
      </c>
      <c r="E8" s="56" t="n">
        <v>-15</v>
      </c>
      <c r="F8" s="57" t="n">
        <f aca="false">C8+D8+E8</f>
        <v>-605</v>
      </c>
      <c r="G8" s="57" t="n">
        <f aca="false">F8</f>
        <v>-605</v>
      </c>
    </row>
    <row r="9" customFormat="false" ht="15" hidden="false" customHeight="true" outlineLevel="0" collapsed="false">
      <c r="A9" s="8" t="s">
        <v>108</v>
      </c>
      <c r="B9" s="14" t="s">
        <v>39</v>
      </c>
      <c r="C9" s="28" t="n">
        <f aca="false">C7+C8</f>
        <v>655</v>
      </c>
      <c r="D9" s="28" t="n">
        <f aca="false">D7+D8</f>
        <v>85</v>
      </c>
      <c r="E9" s="28" t="n">
        <f aca="false">E7+E8</f>
        <v>-15</v>
      </c>
      <c r="F9" s="28" t="n">
        <f aca="false">F7+F8</f>
        <v>725</v>
      </c>
      <c r="G9" s="28" t="n">
        <f aca="false">G7+G8</f>
        <v>770</v>
      </c>
    </row>
    <row r="11" customFormat="false" ht="15" hidden="false" customHeight="true" outlineLevel="0" collapsed="false">
      <c r="A11" s="38" t="s">
        <v>90</v>
      </c>
      <c r="B11" s="30" t="s">
        <v>39</v>
      </c>
      <c r="C11" s="55" t="n">
        <f aca="false">Standalone!C15</f>
        <v>-115</v>
      </c>
      <c r="D11" s="55" t="n">
        <f aca="false">Standalone!D15</f>
        <v>-50</v>
      </c>
      <c r="E11" s="58" t="n">
        <f aca="false">-Deal_Structure!C21*0.045</f>
        <v>-32.3165025</v>
      </c>
      <c r="F11" s="57" t="n">
        <f aca="false">C11+D11+E11</f>
        <v>-197.3165025</v>
      </c>
      <c r="G11" s="57" t="n">
        <f aca="false">F11</f>
        <v>-197.3165025</v>
      </c>
    </row>
    <row r="12" customFormat="false" ht="15" hidden="false" customHeight="true" outlineLevel="0" collapsed="false">
      <c r="A12" s="8" t="s">
        <v>92</v>
      </c>
      <c r="B12" s="14" t="s">
        <v>39</v>
      </c>
      <c r="C12" s="28" t="n">
        <f aca="false">C9+C11</f>
        <v>540</v>
      </c>
      <c r="D12" s="28" t="n">
        <f aca="false">D9+D11</f>
        <v>35</v>
      </c>
      <c r="E12" s="28" t="n">
        <f aca="false">E9+E11</f>
        <v>-47.3165025</v>
      </c>
      <c r="F12" s="28" t="n">
        <f aca="false">F9+F11</f>
        <v>527.6834975</v>
      </c>
      <c r="G12" s="28" t="n">
        <f aca="false">G9+G11</f>
        <v>572.6834975</v>
      </c>
    </row>
    <row r="13" customFormat="false" ht="15" hidden="false" customHeight="true" outlineLevel="0" collapsed="false">
      <c r="A13" s="38" t="s">
        <v>93</v>
      </c>
      <c r="B13" s="30" t="s">
        <v>39</v>
      </c>
      <c r="C13" s="57" t="n">
        <f aca="false">IF(C12&gt;0,-C12*0.2,0)</f>
        <v>-108</v>
      </c>
      <c r="D13" s="57" t="n">
        <f aca="false">IF(D12&gt;0,-D12*0.2,0)</f>
        <v>-7</v>
      </c>
      <c r="E13" s="57" t="n">
        <f aca="false">IF(E12&gt;0,-E12*0.2,0)</f>
        <v>0</v>
      </c>
      <c r="F13" s="57" t="n">
        <f aca="false">IF(F12&gt;0,-F12*0.2,0)</f>
        <v>-105.5366995</v>
      </c>
      <c r="G13" s="57" t="n">
        <f aca="false">IF(G12&gt;0,-G12*0.2,0)</f>
        <v>-114.5366995</v>
      </c>
    </row>
    <row r="14" customFormat="false" ht="15" hidden="false" customHeight="true" outlineLevel="0" collapsed="false">
      <c r="A14" s="23" t="s">
        <v>94</v>
      </c>
      <c r="B14" s="24" t="s">
        <v>39</v>
      </c>
      <c r="C14" s="25" t="n">
        <f aca="false">C12+C13</f>
        <v>432</v>
      </c>
      <c r="D14" s="25" t="n">
        <f aca="false">D12+D13</f>
        <v>28</v>
      </c>
      <c r="E14" s="25" t="n">
        <f aca="false">E12+E13</f>
        <v>-47.3165025</v>
      </c>
      <c r="F14" s="25" t="n">
        <f aca="false">F12+F13</f>
        <v>422.146798</v>
      </c>
      <c r="G14" s="25" t="n">
        <f aca="false">G12+G13</f>
        <v>458.146798</v>
      </c>
    </row>
    <row r="16" customFormat="false" ht="15" hidden="false" customHeight="true" outlineLevel="0" collapsed="false">
      <c r="A16" s="18" t="s">
        <v>95</v>
      </c>
      <c r="B16" s="14" t="s">
        <v>37</v>
      </c>
      <c r="C16" s="59" t="n">
        <f aca="false">Standalone!C20</f>
        <v>398</v>
      </c>
      <c r="D16" s="59" t="n">
        <f aca="false">Standalone!D20</f>
        <v>58.5</v>
      </c>
      <c r="E16" s="60" t="n">
        <v>0</v>
      </c>
      <c r="F16" s="60" t="n">
        <f aca="false">C16+Deal_Structure!C17</f>
        <v>407.865333001988</v>
      </c>
      <c r="G16" s="60" t="n">
        <f aca="false">F16</f>
        <v>407.865333001988</v>
      </c>
    </row>
    <row r="17" customFormat="false" ht="15" hidden="false" customHeight="true" outlineLevel="0" collapsed="false">
      <c r="A17" s="8" t="s">
        <v>96</v>
      </c>
      <c r="B17" s="14" t="s">
        <v>32</v>
      </c>
      <c r="C17" s="21" t="n">
        <f aca="false">C14/C16</f>
        <v>1.08542713567839</v>
      </c>
      <c r="F17" s="21" t="n">
        <f aca="false">F14/F16</f>
        <v>1.03501514799725</v>
      </c>
      <c r="G17" s="21" t="n">
        <f aca="false">G14/G16</f>
        <v>1.12327957521648</v>
      </c>
    </row>
    <row r="19" customFormat="false" ht="15" hidden="false" customHeight="true" outlineLevel="0" collapsed="false">
      <c r="A19" s="18" t="s">
        <v>109</v>
      </c>
      <c r="C19" s="61" t="n">
        <f aca="false">C17</f>
        <v>1.08542713567839</v>
      </c>
      <c r="F19" s="61" t="n">
        <f aca="false">C17</f>
        <v>1.08542713567839</v>
      </c>
      <c r="G19" s="61" t="n">
        <f aca="false">C17</f>
        <v>1.08542713567839</v>
      </c>
    </row>
    <row r="20" customFormat="false" ht="15" hidden="false" customHeight="true" outlineLevel="0" collapsed="false">
      <c r="A20" s="8" t="s">
        <v>110</v>
      </c>
      <c r="F20" s="21" t="n">
        <f aca="false">F17-F19</f>
        <v>-0.0504119876811426</v>
      </c>
      <c r="G20" s="21" t="n">
        <f aca="false">G17-G19</f>
        <v>0.0378524395380848</v>
      </c>
    </row>
    <row r="21" customFormat="false" ht="15.75" hidden="false" customHeight="true" outlineLevel="0" collapsed="false">
      <c r="A21" s="62" t="s">
        <v>111</v>
      </c>
      <c r="B21" s="26"/>
      <c r="C21" s="26"/>
      <c r="D21" s="26"/>
      <c r="E21" s="26"/>
      <c r="F21" s="63" t="n">
        <f aca="false">F20/F19</f>
        <v>-0.0464443775395712</v>
      </c>
      <c r="G21" s="63" t="n">
        <f aca="false">G20/G19</f>
        <v>0.034873312352217</v>
      </c>
    </row>
    <row r="23" customFormat="false" ht="15" hidden="false" customHeight="true" outlineLevel="0" collapsed="false">
      <c r="A23" s="46" t="s">
        <v>70</v>
      </c>
    </row>
    <row r="24" customFormat="false" ht="15" hidden="false" customHeight="true" outlineLevel="0" collapsed="false">
      <c r="A24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8"/>
    <col collapsed="false" customWidth="true" hidden="false" outlineLevel="0" max="5" min="3" style="1" width="16"/>
  </cols>
  <sheetData>
    <row r="1" customFormat="false" ht="17.25" hidden="false" customHeight="true" outlineLevel="0" collapsed="false">
      <c r="A1" s="5" t="s">
        <v>112</v>
      </c>
    </row>
    <row r="2" customFormat="false" ht="15" hidden="false" customHeight="true" outlineLevel="0" collapsed="false">
      <c r="A2" s="15" t="s">
        <v>28</v>
      </c>
    </row>
    <row r="4" customFormat="false" ht="15" hidden="false" customHeight="true" outlineLevel="0" collapsed="false">
      <c r="A4" s="16" t="s">
        <v>113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customFormat="false" ht="15" hidden="false" customHeight="true" outlineLevel="0" collapsed="false">
      <c r="A5" s="18"/>
      <c r="C5" s="64" t="s">
        <v>114</v>
      </c>
      <c r="D5" s="64" t="s">
        <v>115</v>
      </c>
    </row>
    <row r="6" customFormat="false" ht="15" hidden="false" customHeight="true" outlineLevel="0" collapsed="false">
      <c r="A6" s="18" t="s">
        <v>109</v>
      </c>
      <c r="B6" s="14" t="s">
        <v>32</v>
      </c>
      <c r="C6" s="61" t="n">
        <f aca="false">Pro_Forma!C17</f>
        <v>1.08542713567839</v>
      </c>
      <c r="D6" s="61" t="n">
        <f aca="false">Pro_Forma!C17</f>
        <v>1.08542713567839</v>
      </c>
    </row>
    <row r="7" customFormat="false" ht="15" hidden="false" customHeight="true" outlineLevel="0" collapsed="false">
      <c r="A7" s="29" t="s">
        <v>116</v>
      </c>
      <c r="B7" s="30" t="s">
        <v>32</v>
      </c>
      <c r="C7" s="65" t="n">
        <f aca="false">Pro_Forma!F17</f>
        <v>1.03501514799725</v>
      </c>
      <c r="D7" s="65" t="n">
        <f aca="false">Pro_Forma!G17</f>
        <v>1.12327957521648</v>
      </c>
      <c r="E7" s="32"/>
    </row>
    <row r="8" customFormat="false" ht="15" hidden="false" customHeight="true" outlineLevel="0" collapsed="false">
      <c r="A8" s="8" t="s">
        <v>117</v>
      </c>
      <c r="B8" s="14" t="s">
        <v>32</v>
      </c>
      <c r="C8" s="21" t="n">
        <f aca="false">C7-C6</f>
        <v>-0.0504119876811426</v>
      </c>
      <c r="D8" s="21" t="n">
        <f aca="false">D7-D6</f>
        <v>0.0378524395380848</v>
      </c>
    </row>
    <row r="9" customFormat="false" ht="15.75" hidden="false" customHeight="true" outlineLevel="0" collapsed="false">
      <c r="A9" s="62" t="s">
        <v>111</v>
      </c>
      <c r="B9" s="26"/>
      <c r="C9" s="66" t="n">
        <f aca="false">C8/C6</f>
        <v>-0.0464443775395712</v>
      </c>
      <c r="D9" s="66" t="n">
        <f aca="false">D8/D6</f>
        <v>0.034873312352217</v>
      </c>
      <c r="E9" s="26"/>
    </row>
    <row r="10" customFormat="false" ht="15.75" hidden="false" customHeight="true" outlineLevel="0" collapsed="false">
      <c r="A10" s="13" t="s">
        <v>118</v>
      </c>
      <c r="C10" s="67" t="str">
        <f aca="false">IF(C8&gt;0,"ACCRETIVE","DILUTIVE")</f>
        <v>DILUTIVE</v>
      </c>
      <c r="D10" s="67" t="str">
        <f aca="false">IF(D8&gt;0,"ACCRETIVE","DILUTIVE")</f>
        <v>ACCRETIVE</v>
      </c>
    </row>
    <row r="12" customFormat="false" ht="15" hidden="false" customHeight="true" outlineLevel="0" collapsed="false">
      <c r="A12" s="16" t="s">
        <v>119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true" outlineLevel="0" collapsed="false">
      <c r="A13" s="18" t="s">
        <v>120</v>
      </c>
      <c r="B13" s="14" t="s">
        <v>32</v>
      </c>
      <c r="C13" s="61" t="n">
        <f aca="false">C8</f>
        <v>-0.0504119876811426</v>
      </c>
    </row>
    <row r="14" customFormat="false" ht="15" hidden="false" customHeight="true" outlineLevel="0" collapsed="false">
      <c r="A14" s="18" t="s">
        <v>121</v>
      </c>
      <c r="B14" s="14" t="s">
        <v>37</v>
      </c>
      <c r="C14" s="59" t="n">
        <f aca="false">Pro_Forma!F16</f>
        <v>407.865333001988</v>
      </c>
    </row>
    <row r="15" customFormat="false" ht="15" hidden="false" customHeight="true" outlineLevel="0" collapsed="false">
      <c r="A15" s="18" t="s">
        <v>122</v>
      </c>
      <c r="C15" s="49" t="n">
        <f aca="false">-C13*C14</f>
        <v>20.5613021428614</v>
      </c>
    </row>
    <row r="16" customFormat="false" ht="15" hidden="false" customHeight="true" outlineLevel="0" collapsed="false">
      <c r="A16" s="18" t="s">
        <v>123</v>
      </c>
      <c r="C16" s="68" t="n">
        <v>0.2</v>
      </c>
    </row>
    <row r="17" customFormat="false" ht="15" hidden="false" customHeight="true" outlineLevel="0" collapsed="false">
      <c r="A17" s="23" t="s">
        <v>124</v>
      </c>
      <c r="B17" s="26"/>
      <c r="C17" s="69" t="n">
        <f aca="false">C15/(1-C16)</f>
        <v>25.7016276785767</v>
      </c>
      <c r="D17" s="26"/>
      <c r="E17" s="26"/>
    </row>
    <row r="18" customFormat="false" ht="15" hidden="false" customHeight="true" outlineLevel="0" collapsed="false">
      <c r="A18" s="14" t="s">
        <v>125</v>
      </c>
    </row>
    <row r="20" customFormat="false" ht="15" hidden="false" customHeight="true" outlineLevel="0" collapsed="false">
      <c r="A20" s="46" t="s">
        <v>70</v>
      </c>
    </row>
    <row r="21" customFormat="false" ht="15" hidden="false" customHeight="true" outlineLevel="0" collapsed="false">
      <c r="A21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8"/>
    <col collapsed="false" customWidth="true" hidden="false" outlineLevel="0" max="4" min="3" style="1" width="16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5" t="s">
        <v>126</v>
      </c>
    </row>
    <row r="2" customFormat="false" ht="15" hidden="false" customHeight="true" outlineLevel="0" collapsed="false">
      <c r="A2" s="15" t="s">
        <v>28</v>
      </c>
    </row>
    <row r="4" customFormat="false" ht="23.25" hidden="false" customHeight="true" outlineLevel="0" collapsed="false">
      <c r="A4" s="33" t="s">
        <v>127</v>
      </c>
      <c r="B4" s="34" t="s">
        <v>74</v>
      </c>
      <c r="C4" s="34" t="s">
        <v>128</v>
      </c>
      <c r="D4" s="34" t="s">
        <v>129</v>
      </c>
      <c r="E4" s="34" t="s">
        <v>130</v>
      </c>
    </row>
    <row r="5" customFormat="false" ht="15" hidden="false" customHeight="true" outlineLevel="0" collapsed="false">
      <c r="A5" s="16" t="s">
        <v>131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true" outlineLevel="0" collapsed="false">
      <c r="A6" s="18" t="s">
        <v>132</v>
      </c>
      <c r="B6" s="14" t="s">
        <v>39</v>
      </c>
      <c r="C6" s="47" t="n">
        <v>20</v>
      </c>
      <c r="D6" s="47" t="n">
        <v>10</v>
      </c>
      <c r="E6" s="12" t="s">
        <v>133</v>
      </c>
    </row>
    <row r="7" customFormat="false" ht="15" hidden="false" customHeight="true" outlineLevel="0" collapsed="false">
      <c r="A7" s="18" t="s">
        <v>134</v>
      </c>
      <c r="B7" s="14" t="s">
        <v>39</v>
      </c>
      <c r="C7" s="47" t="n">
        <v>12</v>
      </c>
      <c r="D7" s="47" t="n">
        <v>5</v>
      </c>
      <c r="E7" s="12" t="s">
        <v>135</v>
      </c>
    </row>
    <row r="8" customFormat="false" ht="15" hidden="false" customHeight="true" outlineLevel="0" collapsed="false">
      <c r="A8" s="18" t="s">
        <v>136</v>
      </c>
      <c r="B8" s="14" t="s">
        <v>39</v>
      </c>
      <c r="C8" s="47" t="n">
        <v>8</v>
      </c>
      <c r="D8" s="47" t="n">
        <v>4</v>
      </c>
      <c r="E8" s="12" t="s">
        <v>137</v>
      </c>
    </row>
    <row r="9" customFormat="false" ht="15" hidden="false" customHeight="true" outlineLevel="0" collapsed="false">
      <c r="A9" s="38" t="s">
        <v>138</v>
      </c>
      <c r="B9" s="30" t="s">
        <v>39</v>
      </c>
      <c r="C9" s="70" t="n">
        <v>5</v>
      </c>
      <c r="D9" s="70" t="n">
        <v>2</v>
      </c>
      <c r="E9" s="71" t="s">
        <v>139</v>
      </c>
    </row>
    <row r="10" customFormat="false" ht="15" hidden="false" customHeight="true" outlineLevel="0" collapsed="false">
      <c r="A10" s="72" t="s">
        <v>140</v>
      </c>
      <c r="B10" s="73"/>
      <c r="C10" s="74" t="n">
        <f aca="false">SUM(C6:C9)</f>
        <v>45</v>
      </c>
      <c r="D10" s="74" t="n">
        <f aca="false">SUM(D6:D9)</f>
        <v>21</v>
      </c>
      <c r="E10" s="73"/>
    </row>
    <row r="12" customFormat="false" ht="15" hidden="false" customHeight="true" outlineLevel="0" collapsed="false">
      <c r="A12" s="16" t="s">
        <v>141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true" outlineLevel="0" collapsed="false">
      <c r="A13" s="18" t="s">
        <v>142</v>
      </c>
      <c r="B13" s="14" t="s">
        <v>39</v>
      </c>
      <c r="C13" s="47" t="n">
        <v>25</v>
      </c>
      <c r="D13" s="47" t="n">
        <v>8</v>
      </c>
      <c r="E13" s="12" t="s">
        <v>143</v>
      </c>
    </row>
    <row r="14" customFormat="false" ht="15" hidden="false" customHeight="true" outlineLevel="0" collapsed="false">
      <c r="A14" s="18" t="s">
        <v>144</v>
      </c>
      <c r="B14" s="14" t="s">
        <v>39</v>
      </c>
      <c r="C14" s="47" t="n">
        <v>10</v>
      </c>
      <c r="D14" s="47" t="n">
        <v>3</v>
      </c>
      <c r="E14" s="12" t="s">
        <v>145</v>
      </c>
    </row>
    <row r="15" customFormat="false" ht="15" hidden="false" customHeight="true" outlineLevel="0" collapsed="false">
      <c r="A15" s="38" t="s">
        <v>146</v>
      </c>
      <c r="B15" s="30" t="s">
        <v>39</v>
      </c>
      <c r="C15" s="70" t="n">
        <v>5</v>
      </c>
      <c r="D15" s="70" t="n">
        <v>2</v>
      </c>
      <c r="E15" s="71" t="s">
        <v>147</v>
      </c>
    </row>
    <row r="16" customFormat="false" ht="15" hidden="false" customHeight="true" outlineLevel="0" collapsed="false">
      <c r="A16" s="72" t="s">
        <v>148</v>
      </c>
      <c r="B16" s="73"/>
      <c r="C16" s="74" t="n">
        <f aca="false">SUM(C13:C15)</f>
        <v>40</v>
      </c>
      <c r="D16" s="74" t="n">
        <f aca="false">SUM(D13:D15)</f>
        <v>13</v>
      </c>
      <c r="E16" s="73"/>
    </row>
    <row r="18" customFormat="false" ht="15" hidden="false" customHeight="true" outlineLevel="0" collapsed="false">
      <c r="A18" s="75" t="s">
        <v>149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</row>
    <row r="19" customFormat="false" ht="15.75" hidden="false" customHeight="true" outlineLevel="0" collapsed="false">
      <c r="A19" s="77" t="s">
        <v>150</v>
      </c>
      <c r="C19" s="78" t="n">
        <f aca="false">C10+C16</f>
        <v>85</v>
      </c>
    </row>
    <row r="20" customFormat="false" ht="15" hidden="false" customHeight="true" outlineLevel="0" collapsed="false">
      <c r="A20" s="8" t="s">
        <v>151</v>
      </c>
      <c r="C20" s="28" t="n">
        <f aca="false">D10+D16</f>
        <v>34</v>
      </c>
    </row>
    <row r="22" customFormat="false" ht="15" hidden="false" customHeight="true" outlineLevel="0" collapsed="false">
      <c r="A22" s="18" t="s">
        <v>152</v>
      </c>
      <c r="C22" s="47" t="n">
        <v>-60</v>
      </c>
      <c r="E22" s="12" t="s">
        <v>153</v>
      </c>
    </row>
    <row r="23" customFormat="false" ht="15" hidden="false" customHeight="true" outlineLevel="0" collapsed="false">
      <c r="A23" s="18" t="s">
        <v>154</v>
      </c>
      <c r="C23" s="79" t="n">
        <v>2</v>
      </c>
    </row>
    <row r="25" customFormat="false" ht="15" hidden="false" customHeight="true" outlineLevel="0" collapsed="false">
      <c r="A25" s="46" t="s">
        <v>70</v>
      </c>
    </row>
    <row r="26" customFormat="false" ht="15" hidden="false" customHeight="true" outlineLevel="0" collapsed="false">
      <c r="A26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8"/>
    <col collapsed="false" customWidth="true" hidden="false" outlineLevel="0" max="5" min="3" style="1" width="16"/>
  </cols>
  <sheetData>
    <row r="1" customFormat="false" ht="17.25" hidden="false" customHeight="true" outlineLevel="0" collapsed="false">
      <c r="A1" s="5" t="s">
        <v>155</v>
      </c>
    </row>
    <row r="2" customFormat="false" ht="15" hidden="false" customHeight="true" outlineLevel="0" collapsed="false">
      <c r="A2" s="15" t="s">
        <v>28</v>
      </c>
    </row>
    <row r="4" customFormat="false" ht="23.25" hidden="false" customHeight="true" outlineLevel="0" collapsed="false">
      <c r="A4" s="33"/>
      <c r="B4" s="34" t="s">
        <v>74</v>
      </c>
      <c r="C4" s="34" t="s">
        <v>156</v>
      </c>
      <c r="D4" s="34" t="s">
        <v>106</v>
      </c>
      <c r="E4" s="34" t="s">
        <v>107</v>
      </c>
    </row>
    <row r="5" customFormat="false" ht="15" hidden="false" customHeight="true" outlineLevel="0" collapsed="false">
      <c r="A5" s="16" t="s">
        <v>157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true" outlineLevel="0" collapsed="false">
      <c r="A6" s="18" t="s">
        <v>85</v>
      </c>
      <c r="B6" s="14" t="s">
        <v>39</v>
      </c>
      <c r="C6" s="36" t="n">
        <f aca="false">Standalone!C11</f>
        <v>1135</v>
      </c>
      <c r="D6" s="36" t="n">
        <f aca="false">Pro_Forma!F7</f>
        <v>1330</v>
      </c>
      <c r="E6" s="36" t="n">
        <f aca="false">Pro_Forma!G7</f>
        <v>1375</v>
      </c>
    </row>
    <row r="7" customFormat="false" ht="15" hidden="false" customHeight="true" outlineLevel="0" collapsed="false">
      <c r="A7" s="18" t="s">
        <v>158</v>
      </c>
      <c r="B7" s="14" t="s">
        <v>39</v>
      </c>
      <c r="C7" s="37" t="n">
        <v>1345</v>
      </c>
      <c r="D7" s="53" t="n">
        <f aca="false">C7+Deal_Structure!C21+Deal_Structure!F22</f>
        <v>2343.1445</v>
      </c>
      <c r="E7" s="53" t="n">
        <f aca="false">D7</f>
        <v>2343.1445</v>
      </c>
    </row>
    <row r="8" customFormat="false" ht="15" hidden="false" customHeight="true" outlineLevel="0" collapsed="false">
      <c r="A8" s="18" t="s">
        <v>159</v>
      </c>
      <c r="B8" s="14" t="s">
        <v>39</v>
      </c>
      <c r="C8" s="37" t="n">
        <v>488</v>
      </c>
      <c r="D8" s="53" t="n">
        <f aca="false">C8-Deal_Structure!C22</f>
        <v>438</v>
      </c>
      <c r="E8" s="53" t="n">
        <f aca="false">D8</f>
        <v>438</v>
      </c>
    </row>
    <row r="9" customFormat="false" ht="15" hidden="false" customHeight="true" outlineLevel="0" collapsed="false">
      <c r="A9" s="29" t="s">
        <v>160</v>
      </c>
      <c r="B9" s="32"/>
      <c r="C9" s="80" t="n">
        <f aca="false">C7-C8</f>
        <v>857</v>
      </c>
      <c r="D9" s="80" t="n">
        <f aca="false">D7-D8</f>
        <v>1905.1445</v>
      </c>
      <c r="E9" s="80" t="n">
        <f aca="false">E7-E8</f>
        <v>1905.1445</v>
      </c>
    </row>
    <row r="10" customFormat="false" ht="15.75" hidden="false" customHeight="true" outlineLevel="0" collapsed="false">
      <c r="A10" s="62" t="s">
        <v>161</v>
      </c>
      <c r="B10" s="26"/>
      <c r="C10" s="81" t="n">
        <f aca="false">C9/C6</f>
        <v>0.755066079295154</v>
      </c>
      <c r="D10" s="81" t="n">
        <f aca="false">D9/D6</f>
        <v>1.43243947368421</v>
      </c>
      <c r="E10" s="81" t="n">
        <f aca="false">E9/E6</f>
        <v>1.38555963636364</v>
      </c>
    </row>
    <row r="12" customFormat="false" ht="15" hidden="false" customHeight="true" outlineLevel="0" collapsed="false">
      <c r="A12" s="8" t="s">
        <v>162</v>
      </c>
      <c r="B12" s="14" t="s">
        <v>101</v>
      </c>
      <c r="C12" s="82" t="n">
        <v>3.1</v>
      </c>
      <c r="D12" s="45" t="n">
        <f aca="false">(D7+2151+Deal_Structure!C31)/D6</f>
        <v>4.07078533834587</v>
      </c>
      <c r="E12" s="45" t="n">
        <f aca="false">(E7+2151+Deal_Structure!C31)/E6</f>
        <v>3.93755963636364</v>
      </c>
    </row>
    <row r="13" customFormat="false" ht="15" hidden="false" customHeight="true" outlineLevel="0" collapsed="false">
      <c r="A13" s="18" t="s">
        <v>163</v>
      </c>
      <c r="C13" s="45" t="n">
        <f aca="false">C6/(-Pro_Forma!C11)</f>
        <v>9.86956521739131</v>
      </c>
      <c r="D13" s="45" t="n">
        <f aca="false">D6/(-Pro_Forma!D11)</f>
        <v>26.6</v>
      </c>
      <c r="E13" s="45" t="n">
        <f aca="false">E6/(-Pro_Forma!E11)</f>
        <v>42.5479211433849</v>
      </c>
    </row>
    <row r="15" customFormat="false" ht="15" hidden="false" customHeight="true" outlineLevel="0" collapsed="false">
      <c r="A15" s="16" t="s">
        <v>164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true" outlineLevel="0" collapsed="false">
      <c r="A16" s="14" t="s">
        <v>165</v>
      </c>
    </row>
    <row r="17" customFormat="false" ht="15" hidden="false" customHeight="true" outlineLevel="0" collapsed="false">
      <c r="A17" s="14" t="s">
        <v>166</v>
      </c>
    </row>
    <row r="18" customFormat="false" ht="15" hidden="false" customHeight="true" outlineLevel="0" collapsed="false">
      <c r="A18" s="14" t="s">
        <v>167</v>
      </c>
    </row>
    <row r="19" customFormat="false" ht="15" hidden="false" customHeight="true" outlineLevel="0" collapsed="false">
      <c r="A19" s="14" t="s">
        <v>168</v>
      </c>
    </row>
    <row r="21" customFormat="false" ht="15" hidden="false" customHeight="true" outlineLevel="0" collapsed="false">
      <c r="A21" s="46" t="s">
        <v>70</v>
      </c>
    </row>
    <row r="22" customFormat="false" ht="15" hidden="false" customHeight="true" outlineLevel="0" collapsed="false">
      <c r="A22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00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5" t="s">
        <v>169</v>
      </c>
    </row>
    <row r="2" customFormat="false" ht="15" hidden="false" customHeight="true" outlineLevel="0" collapsed="false">
      <c r="A2" s="15" t="s">
        <v>28</v>
      </c>
    </row>
    <row r="4" customFormat="false" ht="15" hidden="false" customHeight="true" outlineLevel="0" collapsed="false">
      <c r="A4" s="8" t="s">
        <v>170</v>
      </c>
    </row>
    <row r="5" customFormat="false" ht="15" hidden="false" customHeight="true" outlineLevel="0" collapsed="false">
      <c r="A5" s="14" t="s">
        <v>171</v>
      </c>
    </row>
    <row r="6" customFormat="false" ht="15" hidden="false" customHeight="true" outlineLevel="0" collapsed="false">
      <c r="A6" s="64" t="s">
        <v>172</v>
      </c>
      <c r="B6" s="83" t="n">
        <v>0</v>
      </c>
      <c r="C6" s="83" t="n">
        <v>25</v>
      </c>
      <c r="D6" s="83" t="n">
        <v>45</v>
      </c>
      <c r="E6" s="83" t="n">
        <v>65</v>
      </c>
      <c r="F6" s="83" t="n">
        <v>85</v>
      </c>
    </row>
    <row r="7" customFormat="false" ht="15" hidden="false" customHeight="true" outlineLevel="0" collapsed="false">
      <c r="A7" s="84" t="n">
        <v>0.15</v>
      </c>
      <c r="B7" s="85" t="n">
        <v>-0.009</v>
      </c>
      <c r="C7" s="86" t="n">
        <v>0.018</v>
      </c>
      <c r="D7" s="86" t="n">
        <v>0.042</v>
      </c>
      <c r="E7" s="86" t="n">
        <v>0.067</v>
      </c>
      <c r="F7" s="86" t="n">
        <v>0.091</v>
      </c>
    </row>
    <row r="8" customFormat="false" ht="15" hidden="false" customHeight="true" outlineLevel="0" collapsed="false">
      <c r="A8" s="84" t="n">
        <v>0.2</v>
      </c>
      <c r="B8" s="85" t="n">
        <v>-0.021</v>
      </c>
      <c r="C8" s="86" t="n">
        <v>0.006</v>
      </c>
      <c r="D8" s="86" t="n">
        <v>0.03</v>
      </c>
      <c r="E8" s="86" t="n">
        <v>0.054</v>
      </c>
      <c r="F8" s="86" t="n">
        <v>0.078</v>
      </c>
    </row>
    <row r="9" customFormat="false" ht="15" hidden="false" customHeight="true" outlineLevel="0" collapsed="false">
      <c r="A9" s="84" t="n">
        <v>0.25</v>
      </c>
      <c r="B9" s="85" t="n">
        <v>-0.032</v>
      </c>
      <c r="C9" s="85" t="n">
        <v>-0.006</v>
      </c>
      <c r="D9" s="86" t="n">
        <v>0.018</v>
      </c>
      <c r="E9" s="86" t="n">
        <v>0.042</v>
      </c>
      <c r="F9" s="86" t="n">
        <v>0.066</v>
      </c>
    </row>
    <row r="10" customFormat="false" ht="15" hidden="false" customHeight="true" outlineLevel="0" collapsed="false">
      <c r="A10" s="84" t="n">
        <v>0.3</v>
      </c>
      <c r="B10" s="85" t="n">
        <v>-0.043</v>
      </c>
      <c r="C10" s="85" t="n">
        <v>-0.017</v>
      </c>
      <c r="D10" s="87" t="n">
        <v>0.007</v>
      </c>
      <c r="E10" s="86" t="n">
        <v>0.031</v>
      </c>
      <c r="F10" s="86" t="n">
        <v>0.054</v>
      </c>
    </row>
    <row r="11" customFormat="false" ht="15" hidden="false" customHeight="true" outlineLevel="0" collapsed="false">
      <c r="A11" s="84" t="n">
        <v>0.35</v>
      </c>
      <c r="B11" s="85" t="n">
        <v>-0.054</v>
      </c>
      <c r="C11" s="85" t="n">
        <v>-0.028</v>
      </c>
      <c r="D11" s="85" t="n">
        <v>-0.004</v>
      </c>
      <c r="E11" s="86" t="n">
        <v>0.02</v>
      </c>
      <c r="F11" s="86" t="n">
        <v>0.043</v>
      </c>
    </row>
    <row r="12" customFormat="false" ht="15" hidden="false" customHeight="true" outlineLevel="0" collapsed="false">
      <c r="A12" s="84" t="n">
        <v>0.4</v>
      </c>
      <c r="B12" s="85" t="n">
        <v>-0.064</v>
      </c>
      <c r="C12" s="85" t="n">
        <v>-0.039</v>
      </c>
      <c r="D12" s="85" t="n">
        <v>-0.015</v>
      </c>
      <c r="E12" s="86" t="n">
        <v>0.009</v>
      </c>
      <c r="F12" s="86" t="n">
        <v>0.033</v>
      </c>
    </row>
    <row r="15" customFormat="false" ht="15" hidden="false" customHeight="true" outlineLevel="0" collapsed="false">
      <c r="A15" s="14" t="s">
        <v>173</v>
      </c>
    </row>
    <row r="16" customFormat="false" ht="15" hidden="false" customHeight="true" outlineLevel="0" collapsed="false">
      <c r="A16" s="64" t="s">
        <v>174</v>
      </c>
      <c r="B16" s="83" t="n">
        <v>0</v>
      </c>
      <c r="C16" s="83" t="n">
        <v>25</v>
      </c>
      <c r="D16" s="83" t="n">
        <v>45</v>
      </c>
      <c r="E16" s="83" t="n">
        <v>65</v>
      </c>
      <c r="F16" s="83" t="n">
        <v>85</v>
      </c>
    </row>
    <row r="17" customFormat="false" ht="15" hidden="false" customHeight="true" outlineLevel="0" collapsed="false">
      <c r="A17" s="84" t="n">
        <v>0.5</v>
      </c>
      <c r="B17" s="85" t="n">
        <v>-0.02</v>
      </c>
      <c r="C17" s="86" t="n">
        <v>0.004</v>
      </c>
      <c r="D17" s="86" t="n">
        <v>0.028</v>
      </c>
      <c r="E17" s="86" t="n">
        <v>0.052</v>
      </c>
      <c r="F17" s="86" t="n">
        <v>0.076</v>
      </c>
    </row>
    <row r="18" customFormat="false" ht="15" hidden="false" customHeight="true" outlineLevel="0" collapsed="false">
      <c r="A18" s="84" t="n">
        <v>0.6</v>
      </c>
      <c r="B18" s="85" t="n">
        <v>-0.032</v>
      </c>
      <c r="C18" s="85" t="n">
        <v>-0.006</v>
      </c>
      <c r="D18" s="86" t="n">
        <v>0.018</v>
      </c>
      <c r="E18" s="86" t="n">
        <v>0.042</v>
      </c>
      <c r="F18" s="86" t="n">
        <v>0.065</v>
      </c>
    </row>
    <row r="19" customFormat="false" ht="15" hidden="false" customHeight="true" outlineLevel="0" collapsed="false">
      <c r="A19" s="84" t="n">
        <v>0.7</v>
      </c>
      <c r="B19" s="85" t="n">
        <v>-0.043</v>
      </c>
      <c r="C19" s="85" t="n">
        <v>-0.017</v>
      </c>
      <c r="D19" s="87" t="n">
        <v>0.007</v>
      </c>
      <c r="E19" s="86" t="n">
        <v>0.031</v>
      </c>
      <c r="F19" s="86" t="n">
        <v>0.054</v>
      </c>
    </row>
    <row r="20" customFormat="false" ht="15" hidden="false" customHeight="true" outlineLevel="0" collapsed="false">
      <c r="A20" s="84" t="n">
        <v>0.8</v>
      </c>
      <c r="B20" s="85" t="n">
        <v>-0.053</v>
      </c>
      <c r="C20" s="85" t="n">
        <v>-0.027</v>
      </c>
      <c r="D20" s="85" t="n">
        <v>-0.003</v>
      </c>
      <c r="E20" s="86" t="n">
        <v>0.021</v>
      </c>
      <c r="F20" s="86" t="n">
        <v>0.045</v>
      </c>
    </row>
    <row r="21" customFormat="false" ht="15" hidden="false" customHeight="true" outlineLevel="0" collapsed="false">
      <c r="A21" s="84" t="n">
        <v>0.9</v>
      </c>
      <c r="B21" s="85" t="n">
        <v>-0.062</v>
      </c>
      <c r="C21" s="85" t="n">
        <v>-0.036</v>
      </c>
      <c r="D21" s="85" t="n">
        <v>-0.012</v>
      </c>
      <c r="E21" s="86" t="n">
        <v>0.012</v>
      </c>
      <c r="F21" s="86" t="n">
        <v>0.036</v>
      </c>
    </row>
    <row r="22" customFormat="false" ht="15" hidden="false" customHeight="true" outlineLevel="0" collapsed="false">
      <c r="A22" s="84" t="n">
        <v>1</v>
      </c>
      <c r="B22" s="85" t="n">
        <v>-0.07</v>
      </c>
      <c r="C22" s="85" t="n">
        <v>-0.044</v>
      </c>
      <c r="D22" s="85" t="n">
        <v>-0.02</v>
      </c>
      <c r="E22" s="86" t="n">
        <v>0.004</v>
      </c>
      <c r="F22" s="86" t="n">
        <v>0.028</v>
      </c>
    </row>
    <row r="24" customFormat="false" ht="15" hidden="false" customHeight="true" outlineLevel="0" collapsed="false">
      <c r="A24" s="14" t="s">
        <v>175</v>
      </c>
    </row>
    <row r="25" customFormat="false" ht="15" hidden="false" customHeight="true" outlineLevel="0" collapsed="false">
      <c r="A25" s="88" t="s">
        <v>176</v>
      </c>
    </row>
    <row r="27" customFormat="false" ht="15" hidden="false" customHeight="true" outlineLevel="0" collapsed="false">
      <c r="A27" s="46" t="s">
        <v>70</v>
      </c>
    </row>
    <row r="28" customFormat="false" ht="15" hidden="false" customHeight="true" outlineLevel="0" collapsed="false">
      <c r="A28" s="4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2026-03-15T16:17:36Z</dcterms:created>
  <dc:creator>openpyxl</dc:creator>
  <dc:description/>
  <dc:language>en-US</dc:language>
  <cp:lastModifiedBy/>
  <dcterms:modified xsi:type="dcterms:W3CDTF">2026-03-15T16:18:24Z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